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smartshieldsa-my.sharepoint.com/personal/hemala_smartshieldglobal_com/Documents/Smart Shield/PPT/"/>
    </mc:Choice>
  </mc:AlternateContent>
  <xr:revisionPtr revIDLastSave="382" documentId="8_{A21E66D3-9DC6-4BF2-BDC5-A1DD794B1F05}" xr6:coauthVersionLast="47" xr6:coauthVersionMax="47" xr10:uidLastSave="{2E244D9E-07D7-43DF-B176-A98C6319FF3D}"/>
  <bookViews>
    <workbookView xWindow="-110" yWindow="-110" windowWidth="19420" windowHeight="10300" firstSheet="3" activeTab="2" xr2:uid="{10DF5BF3-F98B-4923-B8C7-0875A6EF2886}"/>
  </bookViews>
  <sheets>
    <sheet name="Budget 2026" sheetId="1" r:id="rId1"/>
    <sheet name="Service list" sheetId="2" r:id="rId2"/>
    <sheet name="Actuals " sheetId="3" r:id="rId3"/>
    <sheet name="Projects" sheetId="4" r:id="rId4"/>
  </sheets>
  <definedNames>
    <definedName name="_xlnm._FilterDatabase" localSheetId="2" hidden="1">'Actuals '!$C$3:$G$31</definedName>
    <definedName name="_xlnm.Print_Area" localSheetId="0">'Budget 2026'!$C$2:$H$60</definedName>
    <definedName name="_xlnm.Print_Area" localSheetId="1">'Service list'!$E$2:$I$32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1" l="1"/>
  <c r="O30" i="1"/>
  <c r="J40" i="3"/>
  <c r="G38" i="3"/>
  <c r="G39" i="3"/>
  <c r="G40" i="3"/>
  <c r="G37" i="3"/>
  <c r="L43" i="1"/>
  <c r="J43" i="1"/>
  <c r="L13" i="4"/>
  <c r="J13" i="4"/>
  <c r="I13" i="4"/>
  <c r="K13" i="4"/>
  <c r="E23" i="4"/>
  <c r="H5" i="4"/>
  <c r="H13" i="4"/>
  <c r="E30" i="1"/>
  <c r="G13" i="4"/>
  <c r="F13" i="4"/>
  <c r="E25" i="4"/>
  <c r="H11" i="4"/>
  <c r="H10" i="4"/>
  <c r="K11" i="4"/>
  <c r="K10" i="4"/>
  <c r="L7" i="4"/>
  <c r="L5" i="4"/>
  <c r="L6" i="4"/>
  <c r="L8" i="4"/>
  <c r="L9" i="4"/>
  <c r="L10" i="4"/>
  <c r="L11" i="4"/>
  <c r="L4" i="4"/>
  <c r="H8" i="4"/>
  <c r="H7" i="4"/>
  <c r="K6" i="4"/>
  <c r="H6" i="4"/>
  <c r="K5" i="4"/>
  <c r="F30" i="3" l="1"/>
  <c r="G30" i="3" s="1"/>
  <c r="J15" i="3"/>
  <c r="G24" i="1" l="1"/>
  <c r="G25" i="1"/>
  <c r="G26" i="1"/>
  <c r="G27" i="1"/>
  <c r="G28" i="1"/>
  <c r="G29" i="1"/>
  <c r="E20" i="1"/>
  <c r="L58" i="1"/>
  <c r="J58" i="1"/>
  <c r="L57" i="1"/>
  <c r="J57" i="1"/>
  <c r="L56" i="1"/>
  <c r="J56" i="1"/>
  <c r="L55" i="1"/>
  <c r="J55" i="1"/>
  <c r="L54" i="1"/>
  <c r="J54" i="1"/>
  <c r="K53" i="1"/>
  <c r="L53" i="1" s="1"/>
  <c r="K52" i="1"/>
  <c r="L51" i="1"/>
  <c r="J51" i="1"/>
  <c r="L50" i="1"/>
  <c r="J50" i="1"/>
  <c r="L49" i="1"/>
  <c r="J49" i="1"/>
  <c r="L48" i="1"/>
  <c r="J48" i="1"/>
  <c r="L47" i="1"/>
  <c r="J47" i="1"/>
  <c r="L46" i="1"/>
  <c r="J46" i="1"/>
  <c r="L45" i="1"/>
  <c r="J45" i="1"/>
  <c r="L44" i="1"/>
  <c r="J44" i="1"/>
  <c r="H20" i="1"/>
  <c r="G20" i="1"/>
  <c r="E35" i="1" s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20" i="1" l="1"/>
  <c r="E34" i="1" s="1"/>
  <c r="G30" i="1"/>
  <c r="E36" i="1" s="1"/>
  <c r="E37" i="1" s="1"/>
  <c r="K59" i="1"/>
  <c r="J59" i="1"/>
  <c r="L52" i="1"/>
  <c r="L59" i="1" s="1"/>
</calcChain>
</file>

<file path=xl/sharedStrings.xml><?xml version="1.0" encoding="utf-8"?>
<sst xmlns="http://schemas.openxmlformats.org/spreadsheetml/2006/main" count="267" uniqueCount="204">
  <si>
    <t>2026 Financial Summary Report</t>
  </si>
  <si>
    <t>1. Salary &amp; Expenses Overview</t>
  </si>
  <si>
    <t>Position</t>
  </si>
  <si>
    <t>Monthly Salary (SAR)</t>
  </si>
  <si>
    <t>Yearly Salary (SAR)</t>
  </si>
  <si>
    <t>Other Expenses (SAR)</t>
  </si>
  <si>
    <t>Sales Target (SAR)</t>
  </si>
  <si>
    <t>Sales Director</t>
  </si>
  <si>
    <t>Sales Engineer</t>
  </si>
  <si>
    <t>GM Salary</t>
  </si>
  <si>
    <t>—</t>
  </si>
  <si>
    <t>Public Relation</t>
  </si>
  <si>
    <t>Saudi Tech</t>
  </si>
  <si>
    <t>Expat Tech</t>
  </si>
  <si>
    <t>India Office</t>
  </si>
  <si>
    <t>Saudi Office Rent</t>
  </si>
  <si>
    <t>Total</t>
  </si>
  <si>
    <t>2. Sales &amp; Profit Summary (2026)</t>
  </si>
  <si>
    <t>Category</t>
  </si>
  <si>
    <t>Target (SAR)</t>
  </si>
  <si>
    <t>Profit %</t>
  </si>
  <si>
    <t>Profit (SAR)</t>
  </si>
  <si>
    <t>No. of Customers</t>
  </si>
  <si>
    <t>Renewal</t>
  </si>
  <si>
    <t>Advisory</t>
  </si>
  <si>
    <t>Products</t>
  </si>
  <si>
    <t>IT &amp; Cyber Security Services</t>
  </si>
  <si>
    <t>SOC Services</t>
  </si>
  <si>
    <t xml:space="preserve">Application devlopment </t>
  </si>
  <si>
    <t xml:space="preserve">Summary </t>
  </si>
  <si>
    <t>Description</t>
  </si>
  <si>
    <t>Amount (SAR)</t>
  </si>
  <si>
    <t>Total Yearly Salary</t>
  </si>
  <si>
    <t>Total Other Expenses</t>
  </si>
  <si>
    <t>Total Profit (as per sales breakdown)</t>
  </si>
  <si>
    <t>Net Income</t>
  </si>
  <si>
    <t>India exp break up</t>
  </si>
  <si>
    <t>Monthly (INR)</t>
  </si>
  <si>
    <t>Cyber Security Lead</t>
  </si>
  <si>
    <t>Network and Security Engineer Head</t>
  </si>
  <si>
    <t>Network and Security Engineer</t>
  </si>
  <si>
    <t>SOC Analyst</t>
  </si>
  <si>
    <t>Penetration Test Engineer</t>
  </si>
  <si>
    <t>Cyber Security Engineer</t>
  </si>
  <si>
    <t>System Engineer</t>
  </si>
  <si>
    <t xml:space="preserve">Application Engineer </t>
  </si>
  <si>
    <t>Business Operation Co-ordinator</t>
  </si>
  <si>
    <t>Business Unit Head</t>
  </si>
  <si>
    <t>Business Operation Manager</t>
  </si>
  <si>
    <t>Rent</t>
  </si>
  <si>
    <t>Other Expenses</t>
  </si>
  <si>
    <t xml:space="preserve">Ahamed </t>
  </si>
  <si>
    <t>Ragavi</t>
  </si>
  <si>
    <t>IT Services &amp; Cybersecurity Opportunities in KSA</t>
  </si>
  <si>
    <t>IT service List</t>
  </si>
  <si>
    <t>Cyber Security Service List</t>
  </si>
  <si>
    <t xml:space="preserve">Sales Sector </t>
  </si>
  <si>
    <t>Sector</t>
  </si>
  <si>
    <t>Key IT &amp; Cybersecurity Opportunities</t>
  </si>
  <si>
    <t>Estimated Annual Market Potential (SAR)</t>
  </si>
  <si>
    <t>Food Industry</t>
  </si>
  <si>
    <t>Sales &amp; Retail</t>
  </si>
  <si>
    <t>E-commerce platforms, POS integration, customer data protection</t>
  </si>
  <si>
    <t>SAR 1.5–1.9 Billion</t>
  </si>
  <si>
    <t xml:space="preserve">Financial Sector </t>
  </si>
  <si>
    <t>Supply-chain automation, IoT monitoring, cloud ERP, data security</t>
  </si>
  <si>
    <t>SAR 0.94–1.13 Billion</t>
  </si>
  <si>
    <t xml:space="preserve">Health Care </t>
  </si>
  <si>
    <t>Financial Sector (Banking &amp; Insurance)</t>
  </si>
  <si>
    <t>SOC services, data governance, SAMA compliance, fintech solutions</t>
  </si>
  <si>
    <t>SAR 4.5–5.6 Billion</t>
  </si>
  <si>
    <t>Auto mobile</t>
  </si>
  <si>
    <t>Healthcare</t>
  </si>
  <si>
    <t>Electronic medical records (EMR), tele-health, data privacy, IoT security</t>
  </si>
  <si>
    <t>SAR 2.25–2.63 Billion</t>
  </si>
  <si>
    <t>Budget plan</t>
  </si>
  <si>
    <t xml:space="preserve">Industries </t>
  </si>
  <si>
    <t>Automobile</t>
  </si>
  <si>
    <t>Connected vehicle systems, dealer ERP, IoT &amp; predictive analytics</t>
  </si>
  <si>
    <t>SAR 1.13–1.50 Billion</t>
  </si>
  <si>
    <t>Government Sector</t>
  </si>
  <si>
    <t>Industrial &amp; Manufacturing</t>
  </si>
  <si>
    <t>OT/ICS security, automation systems, smart factory integration</t>
  </si>
  <si>
    <t>SAR 3.00–3.75 Billion</t>
  </si>
  <si>
    <t>Construction</t>
  </si>
  <si>
    <t>Smart city initiatives, data centers, citizen-service platforms</t>
  </si>
  <si>
    <t>SAR 5.6–7.5 Billion</t>
  </si>
  <si>
    <t>Tele Communication</t>
  </si>
  <si>
    <t>Construction &amp; Real Estate</t>
  </si>
  <si>
    <t>Smart building solutions, project ERP, digital twin &amp; IoT</t>
  </si>
  <si>
    <t>Telecommunication</t>
  </si>
  <si>
    <t>5G security, cloud infrastructure, data analytics, managed IT</t>
  </si>
  <si>
    <t>SAR 3.75–4.88 Billion</t>
  </si>
  <si>
    <t>Cybersecurity Services Opportunities in KSA</t>
  </si>
  <si>
    <t>Service Category</t>
  </si>
  <si>
    <t>Key Offerings &amp; Focus Areas</t>
  </si>
  <si>
    <t>Security Operations (SOC)</t>
  </si>
  <si>
    <t>24×7 threat monitoring, SIEM, MDR, XDR, incident response</t>
  </si>
  <si>
    <t>SAR 3.75 – 4.88 Billion</t>
  </si>
  <si>
    <t>Network &amp; Infrastructure Security</t>
  </si>
  <si>
    <t>Firewall management, VPNs, NDR, zero-trust architecture</t>
  </si>
  <si>
    <t>SAR 2.63 – 3.38 Billion</t>
  </si>
  <si>
    <t>Endpoint &amp; Cloud Security</t>
  </si>
  <si>
    <t>Endpoint protection, CASB, cloud workload protection</t>
  </si>
  <si>
    <t>SAR 2.25 – 3.00 Billion</t>
  </si>
  <si>
    <t>Governance, Risk &amp; Compliance (GRC)</t>
  </si>
  <si>
    <t>SAMA, NCA, ISO 27001, policy development, risk audits</t>
  </si>
  <si>
    <t>SAR 1.88 – 2.63 Billion</t>
  </si>
  <si>
    <t>Identity &amp; Access Management (IAM)</t>
  </si>
  <si>
    <t>SSO, MFA, privileged access, directory integration</t>
  </si>
  <si>
    <t>SAR 1.50 – 2.25 Billion</t>
  </si>
  <si>
    <t>Vulnerability &amp; Patch Management</t>
  </si>
  <si>
    <t>Continuous assessment, remediation, reporting</t>
  </si>
  <si>
    <t>SAR 1.13 – 1.50 Billion</t>
  </si>
  <si>
    <t>Application &amp; Web Security</t>
  </si>
  <si>
    <t>Secure code review, API protection, WAF deployment</t>
  </si>
  <si>
    <t>SAR 1.31 – 1.69 Billion</t>
  </si>
  <si>
    <t>OT / ICS Security</t>
  </si>
  <si>
    <t>Industrial control system protection for oil, gas &amp; utilities</t>
  </si>
  <si>
    <t>Cyber Awareness &amp; Training</t>
  </si>
  <si>
    <t>Employee awareness, phishing simulation, policy education</t>
  </si>
  <si>
    <t>SAR 0.56 – 0.75 Billion</t>
  </si>
  <si>
    <t>Penetration Testing &amp; Red Teaming</t>
  </si>
  <si>
    <t>External/internal testing, exploit simulation, assessment</t>
  </si>
  <si>
    <t>SAR 0.94 – 1.13 Billion</t>
  </si>
  <si>
    <t>Data Protection &amp; DLP</t>
  </si>
  <si>
    <t>Encryption, data classification, privacy compliance</t>
  </si>
  <si>
    <t>Managed Security Services (MSSP)</t>
  </si>
  <si>
    <t>Outsourced SOC, device management, SIEM as a Service</t>
  </si>
  <si>
    <t>SAR 3.00 – 3.75 Billion</t>
  </si>
  <si>
    <t xml:space="preserve">India </t>
  </si>
  <si>
    <t>Saudi</t>
  </si>
  <si>
    <t>S.No</t>
  </si>
  <si>
    <t>Date</t>
  </si>
  <si>
    <t>Details</t>
  </si>
  <si>
    <t>INR</t>
  </si>
  <si>
    <t>Month</t>
  </si>
  <si>
    <t>Total Salary (SAR)</t>
  </si>
  <si>
    <t>Employee Salary</t>
  </si>
  <si>
    <t xml:space="preserve">Salary </t>
  </si>
  <si>
    <t>ID card and Visiting Card</t>
  </si>
  <si>
    <t>Initial - AWFIS work space</t>
  </si>
  <si>
    <t>Bank Account Opening</t>
  </si>
  <si>
    <t>-</t>
  </si>
  <si>
    <t>Insperway</t>
  </si>
  <si>
    <t>Awfis Security Deposit</t>
  </si>
  <si>
    <t>Awfis July Month Rent</t>
  </si>
  <si>
    <t>July Employee Salary</t>
  </si>
  <si>
    <t>June Month Expense</t>
  </si>
  <si>
    <t>Incorporation Expenses</t>
  </si>
  <si>
    <t>July Month Expense</t>
  </si>
  <si>
    <t>Other Expenses till Oct</t>
  </si>
  <si>
    <t>Salary</t>
  </si>
  <si>
    <t>Laptop Expense</t>
  </si>
  <si>
    <t>Expenses</t>
  </si>
  <si>
    <t>August Month Salary</t>
  </si>
  <si>
    <t>Srisha Salary &amp; Laptop</t>
  </si>
  <si>
    <t>September Expenses</t>
  </si>
  <si>
    <t>Entertainment Expenses</t>
  </si>
  <si>
    <t>Travel Allowance Hemala</t>
  </si>
  <si>
    <t>September Month Salary</t>
  </si>
  <si>
    <t>October Rent</t>
  </si>
  <si>
    <t>GST</t>
  </si>
  <si>
    <t>October Month Salary</t>
  </si>
  <si>
    <t>November Rent</t>
  </si>
  <si>
    <t>October Expenses</t>
  </si>
  <si>
    <t>SAR</t>
  </si>
  <si>
    <t>Amount (INR)</t>
  </si>
  <si>
    <t>Total Salary</t>
  </si>
  <si>
    <t>Total Rent</t>
  </si>
  <si>
    <t>Grand Total</t>
  </si>
  <si>
    <t>Proposal / PO</t>
  </si>
  <si>
    <t>Client</t>
  </si>
  <si>
    <t>Invoice Amount</t>
  </si>
  <si>
    <t>Payment Received</t>
  </si>
  <si>
    <t>Pending from Customer</t>
  </si>
  <si>
    <t>Distributor Cost</t>
  </si>
  <si>
    <t>Vendor Paid</t>
  </si>
  <si>
    <t>Vendor Balance</t>
  </si>
  <si>
    <t>Profit (before Distributor &amp; Tax)</t>
  </si>
  <si>
    <t>PO-200-2025-000467</t>
  </si>
  <si>
    <t>AlRajhi United Real Estate</t>
  </si>
  <si>
    <t>PRO-2025002</t>
  </si>
  <si>
    <t>AL-AYUNI</t>
  </si>
  <si>
    <t>PRO-2025025</t>
  </si>
  <si>
    <t>Safia Bottled Water Factory</t>
  </si>
  <si>
    <t>PRO-2025076</t>
  </si>
  <si>
    <t>ATSS</t>
  </si>
  <si>
    <t>–</t>
  </si>
  <si>
    <t>PRO-2025082</t>
  </si>
  <si>
    <t>Saudi Principal</t>
  </si>
  <si>
    <t>PRO-2025121</t>
  </si>
  <si>
    <t>FIPCO (O365 Renewal)</t>
  </si>
  <si>
    <t>PRO-2025124</t>
  </si>
  <si>
    <t>FIPCO (Acronis Patch)</t>
  </si>
  <si>
    <t>PRO-2025117</t>
  </si>
  <si>
    <t>Berain Water Company</t>
  </si>
  <si>
    <t>Metric</t>
  </si>
  <si>
    <t>Total Invoice Value</t>
  </si>
  <si>
    <t>Total Collected</t>
  </si>
  <si>
    <t>Pending Collections</t>
  </si>
  <si>
    <t>Paid to Distributor</t>
  </si>
  <si>
    <t>Distributor Balance Owed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</si>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</sst>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-yy;@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/>
    <xf numFmtId="43" fontId="4" fillId="0" borderId="0" xfId="1" applyFont="1"/>
    <xf numFmtId="0" fontId="5" fillId="0" borderId="0" xfId="0" applyFont="1" applyAlignment="1">
      <alignment vertical="center"/>
    </xf>
    <xf numFmtId="0" fontId="0" fillId="0" borderId="5" xfId="0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3" fontId="6" fillId="0" borderId="4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9" fontId="6" fillId="0" borderId="4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164" fontId="7" fillId="0" borderId="5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1" applyNumberFormat="1" applyFont="1" applyBorder="1" applyAlignment="1">
      <alignment vertical="center" wrapText="1"/>
    </xf>
    <xf numFmtId="0" fontId="7" fillId="0" borderId="0" xfId="0" applyFont="1"/>
    <xf numFmtId="0" fontId="6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3" fontId="0" fillId="0" borderId="0" xfId="0" applyNumberFormat="1"/>
    <xf numFmtId="0" fontId="2" fillId="0" borderId="0" xfId="0" applyFont="1" applyAlignment="1">
      <alignment vertical="center" wrapText="1"/>
    </xf>
    <xf numFmtId="17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right" vertical="center" wrapText="1"/>
    </xf>
    <xf numFmtId="0" fontId="0" fillId="0" borderId="5" xfId="0" applyBorder="1" applyAlignment="1">
      <alignment vertical="center"/>
    </xf>
    <xf numFmtId="4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43" fontId="0" fillId="0" borderId="5" xfId="1" applyFont="1" applyBorder="1" applyAlignment="1">
      <alignment horizontal="right" vertical="center"/>
    </xf>
    <xf numFmtId="4" fontId="0" fillId="2" borderId="5" xfId="0" applyNumberForma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4" fontId="2" fillId="2" borderId="5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 wrapText="1"/>
    </xf>
    <xf numFmtId="4" fontId="0" fillId="0" borderId="6" xfId="0" applyNumberFormat="1" applyBorder="1"/>
    <xf numFmtId="43" fontId="0" fillId="0" borderId="6" xfId="1" applyFont="1" applyBorder="1"/>
    <xf numFmtId="4" fontId="2" fillId="0" borderId="5" xfId="0" applyNumberFormat="1" applyFont="1" applyBorder="1" applyAlignment="1">
      <alignment horizontal="right" vertical="center" wrapText="1"/>
    </xf>
    <xf numFmtId="43" fontId="0" fillId="2" borderId="5" xfId="1" applyFont="1" applyFill="1" applyBorder="1" applyAlignment="1">
      <alignment horizontal="right" vertical="center"/>
    </xf>
    <xf numFmtId="43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43" fontId="0" fillId="0" borderId="0" xfId="1" applyFont="1" applyAlignment="1">
      <alignment horizontal="center"/>
    </xf>
    <xf numFmtId="3" fontId="2" fillId="0" borderId="0" xfId="0" applyNumberFormat="1" applyFont="1" applyAlignment="1">
      <alignment vertical="center" wrapText="1"/>
    </xf>
    <xf numFmtId="3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100" baseline="0" dirty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Projected Sales &amp; Profit Summary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80311837202136"/>
          <c:y val="0.13983814523184601"/>
          <c:w val="0.82664133275561402"/>
          <c:h val="0.53625692621755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'Budget 2026'!$O$23</c:f>
              <c:strCache>
                <c:ptCount val="1"/>
                <c:pt idx="0">
                  <c:v>Target (SAR)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'Budget 2026'!$N$24:$N$29</c:f>
              <c:strCache>
                <c:ptCount val="6"/>
                <c:pt idx="0">
                  <c:v>Renewal</c:v>
                </c:pt>
                <c:pt idx="1">
                  <c:v>Advisory</c:v>
                </c:pt>
                <c:pt idx="2">
                  <c:v>Products</c:v>
                </c:pt>
                <c:pt idx="3">
                  <c:v>IT &amp; Cyber Security Services</c:v>
                </c:pt>
                <c:pt idx="4">
                  <c:v>SOC Services</c:v>
                </c:pt>
                <c:pt idx="5">
                  <c:v>Application devlopment </c:v>
                </c:pt>
              </c:strCache>
            </c:strRef>
          </c:cat>
          <c:val>
            <c:numRef>
              <c:f>'Budget 2026'!$O$24:$O$29</c:f>
              <c:numCache>
                <c:formatCode>#,##0</c:formatCode>
                <c:ptCount val="6"/>
                <c:pt idx="0">
                  <c:v>6000000</c:v>
                </c:pt>
                <c:pt idx="1">
                  <c:v>4000000</c:v>
                </c:pt>
                <c:pt idx="2">
                  <c:v>6000000</c:v>
                </c:pt>
                <c:pt idx="3">
                  <c:v>4000000</c:v>
                </c:pt>
                <c:pt idx="4">
                  <c:v>6000000</c:v>
                </c:pt>
                <c:pt idx="5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A-4434-A027-8E8B0459E0F6}"/>
            </c:ext>
          </c:extLst>
        </c:ser>
        <c:ser>
          <c:idx val="1"/>
          <c:order val="1"/>
          <c:tx>
            <c:strRef>
              <c:f>'Budget 2026'!$P$23</c:f>
              <c:strCache>
                <c:ptCount val="1"/>
                <c:pt idx="0">
                  <c:v>Profit (SAR)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'Budget 2026'!$N$24:$N$29</c:f>
              <c:strCache>
                <c:ptCount val="6"/>
                <c:pt idx="0">
                  <c:v>Renewal</c:v>
                </c:pt>
                <c:pt idx="1">
                  <c:v>Advisory</c:v>
                </c:pt>
                <c:pt idx="2">
                  <c:v>Products</c:v>
                </c:pt>
                <c:pt idx="3">
                  <c:v>IT &amp; Cyber Security Services</c:v>
                </c:pt>
                <c:pt idx="4">
                  <c:v>SOC Services</c:v>
                </c:pt>
                <c:pt idx="5">
                  <c:v>Application devlopment </c:v>
                </c:pt>
              </c:strCache>
            </c:strRef>
          </c:cat>
          <c:val>
            <c:numRef>
              <c:f>'Budget 2026'!$P$24:$P$29</c:f>
              <c:numCache>
                <c:formatCode>#,##0</c:formatCode>
                <c:ptCount val="6"/>
                <c:pt idx="0">
                  <c:v>300000</c:v>
                </c:pt>
                <c:pt idx="1">
                  <c:v>2400000</c:v>
                </c:pt>
                <c:pt idx="2">
                  <c:v>480000</c:v>
                </c:pt>
                <c:pt idx="3">
                  <c:v>2400000</c:v>
                </c:pt>
                <c:pt idx="4">
                  <c:v>1200000</c:v>
                </c:pt>
                <c:pt idx="5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A-4434-A027-8E8B0459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87145055"/>
        <c:axId val="1187146015"/>
      </c:barChart>
      <c:catAx>
        <c:axId val="11871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46015"/>
        <c:crosses val="autoZero"/>
        <c:auto val="1"/>
        <c:lblAlgn val="ctr"/>
        <c:lblOffset val="100"/>
        <c:noMultiLvlLbl val="0"/>
      </c:catAx>
      <c:valAx>
        <c:axId val="11871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450849</xdr:colOff>
      <xdr:row>6</xdr:row>
      <xdr:rowOff>98426</xdr:rowOff>
    </xdr:from>
    <xdr:to>
      <xdr:col>13</xdr:col>
      <xdr:colOff>800100</xdr:colOff>
      <xdr:row>19</xdr:row>
      <xdr:rowOff>109765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7C7364-55BE-7BCB-500E-1DA979937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2D84-1081-4C88-8EE6-0BCEF1EB6808}">
  <sheetPr>
    <pageSetUpPr fitToPage="1"/>
  </sheetPr>
  <dimension ref="C2:P59"/>
  <sheetViews>
    <sheetView showGridLines="0" topLeftCell="B15" zoomScale="70" zoomScaleNormal="70" workbookViewId="0">
      <selection activeCell="P30" sqref="P30"/>
    </sheetView>
  </sheetViews>
  <sheetFormatPr defaultColWidth="8.7109375" defaultRowHeight="15.95"/>
  <cols>
    <col min="1" max="3" width="8.7109375" style="3"/>
    <col min="4" max="4" width="37.7109375" style="3" bestFit="1" customWidth="1"/>
    <col min="5" max="6" width="14.28515625" style="3" bestFit="1" customWidth="1"/>
    <col min="7" max="7" width="10.5703125" style="3" bestFit="1" customWidth="1"/>
    <col min="8" max="8" width="11.85546875" style="3" bestFit="1" customWidth="1"/>
    <col min="9" max="9" width="14.5703125" style="3" bestFit="1" customWidth="1"/>
    <col min="10" max="10" width="10.140625" style="3" bestFit="1" customWidth="1"/>
    <col min="11" max="12" width="14.28515625" style="3" bestFit="1" customWidth="1"/>
    <col min="13" max="13" width="8.7109375" style="3"/>
    <col min="14" max="15" width="45.85546875" style="3" customWidth="1"/>
    <col min="16" max="16" width="12.5703125" style="3" customWidth="1"/>
    <col min="17" max="17" width="7.28515625" style="3" bestFit="1" customWidth="1"/>
    <col min="18" max="16384" width="8.7109375" style="3"/>
  </cols>
  <sheetData>
    <row r="2" spans="3:9">
      <c r="D2" s="1"/>
    </row>
    <row r="3" spans="3:9">
      <c r="C3" s="7"/>
      <c r="D3" s="13"/>
      <c r="E3" s="7"/>
      <c r="F3" s="7"/>
      <c r="G3" s="7"/>
      <c r="H3" s="7"/>
      <c r="I3" s="7"/>
    </row>
    <row r="4" spans="3:9">
      <c r="C4" s="7"/>
      <c r="D4" s="8" t="s">
        <v>0</v>
      </c>
      <c r="E4" s="7"/>
      <c r="F4" s="7"/>
      <c r="G4" s="7"/>
      <c r="H4" s="7"/>
      <c r="I4" s="7"/>
    </row>
    <row r="5" spans="3:9" ht="16.5" thickBot="1">
      <c r="C5" s="7"/>
      <c r="D5" s="13" t="s">
        <v>1</v>
      </c>
      <c r="E5" s="7"/>
      <c r="F5" s="7"/>
      <c r="G5" s="7"/>
      <c r="H5" s="7"/>
      <c r="I5" s="7"/>
    </row>
    <row r="6" spans="3:9" ht="47.1" thickBot="1">
      <c r="C6" s="7"/>
      <c r="D6" s="9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7"/>
    </row>
    <row r="7" spans="3:9" ht="17.100000000000001" thickTop="1" thickBot="1">
      <c r="C7" s="7"/>
      <c r="D7" s="21" t="s">
        <v>7</v>
      </c>
      <c r="E7" s="11">
        <v>16000</v>
      </c>
      <c r="F7" s="11">
        <f>E7*12</f>
        <v>192000</v>
      </c>
      <c r="G7" s="11">
        <v>30000</v>
      </c>
      <c r="H7" s="11">
        <v>8000000</v>
      </c>
      <c r="I7" s="7"/>
    </row>
    <row r="8" spans="3:9" ht="16.5" thickBot="1">
      <c r="C8" s="7"/>
      <c r="D8" s="21" t="s">
        <v>8</v>
      </c>
      <c r="E8" s="11">
        <v>10000</v>
      </c>
      <c r="F8" s="11">
        <f t="shared" ref="F8:F19" si="0">E8*12</f>
        <v>120000</v>
      </c>
      <c r="G8" s="11">
        <v>30000</v>
      </c>
      <c r="H8" s="11">
        <v>6000000</v>
      </c>
      <c r="I8" s="7"/>
    </row>
    <row r="9" spans="3:9" ht="16.5" thickBot="1">
      <c r="C9" s="7"/>
      <c r="D9" s="21" t="s">
        <v>8</v>
      </c>
      <c r="E9" s="11">
        <v>10000</v>
      </c>
      <c r="F9" s="11">
        <f t="shared" si="0"/>
        <v>120000</v>
      </c>
      <c r="G9" s="11">
        <v>30000</v>
      </c>
      <c r="H9" s="11">
        <v>6000000</v>
      </c>
      <c r="I9" s="7"/>
    </row>
    <row r="10" spans="3:9" ht="16.5" thickBot="1">
      <c r="C10" s="7"/>
      <c r="D10" s="21" t="s">
        <v>8</v>
      </c>
      <c r="E10" s="11">
        <v>10000</v>
      </c>
      <c r="F10" s="11">
        <f t="shared" si="0"/>
        <v>120000</v>
      </c>
      <c r="G10" s="11">
        <v>30000</v>
      </c>
      <c r="H10" s="11">
        <v>6000000</v>
      </c>
      <c r="I10" s="7"/>
    </row>
    <row r="11" spans="3:9" ht="16.5" thickBot="1">
      <c r="C11" s="7"/>
      <c r="D11" s="21" t="s">
        <v>9</v>
      </c>
      <c r="E11" s="11">
        <v>35000</v>
      </c>
      <c r="F11" s="11">
        <f t="shared" si="0"/>
        <v>420000</v>
      </c>
      <c r="G11" s="11">
        <v>30000</v>
      </c>
      <c r="H11" s="12" t="s">
        <v>10</v>
      </c>
      <c r="I11" s="7"/>
    </row>
    <row r="12" spans="3:9" ht="16.5" thickBot="1">
      <c r="C12" s="7"/>
      <c r="D12" s="21" t="s">
        <v>11</v>
      </c>
      <c r="E12" s="11">
        <v>5500</v>
      </c>
      <c r="F12" s="11">
        <f t="shared" si="0"/>
        <v>66000</v>
      </c>
      <c r="G12" s="11">
        <v>30000</v>
      </c>
      <c r="H12" s="12" t="s">
        <v>10</v>
      </c>
      <c r="I12" s="7"/>
    </row>
    <row r="13" spans="3:9" ht="16.5" thickBot="1">
      <c r="C13" s="7"/>
      <c r="D13" s="21" t="s">
        <v>12</v>
      </c>
      <c r="E13" s="11">
        <v>6500</v>
      </c>
      <c r="F13" s="11">
        <f t="shared" si="0"/>
        <v>78000</v>
      </c>
      <c r="G13" s="11">
        <v>30000</v>
      </c>
      <c r="H13" s="12" t="s">
        <v>10</v>
      </c>
      <c r="I13" s="7"/>
    </row>
    <row r="14" spans="3:9" ht="16.5" thickBot="1">
      <c r="C14" s="7"/>
      <c r="D14" s="21" t="s">
        <v>12</v>
      </c>
      <c r="E14" s="11">
        <v>13000</v>
      </c>
      <c r="F14" s="11">
        <f t="shared" si="0"/>
        <v>156000</v>
      </c>
      <c r="G14" s="11">
        <v>30000</v>
      </c>
      <c r="H14" s="12" t="s">
        <v>10</v>
      </c>
      <c r="I14" s="7"/>
    </row>
    <row r="15" spans="3:9" ht="16.5" thickBot="1">
      <c r="C15" s="7"/>
      <c r="D15" s="21" t="s">
        <v>13</v>
      </c>
      <c r="E15" s="11">
        <v>15000</v>
      </c>
      <c r="F15" s="11">
        <f t="shared" si="0"/>
        <v>180000</v>
      </c>
      <c r="G15" s="11">
        <v>30000</v>
      </c>
      <c r="H15" s="12" t="s">
        <v>10</v>
      </c>
      <c r="I15" s="7"/>
    </row>
    <row r="16" spans="3:9" ht="16.5" thickBot="1">
      <c r="C16" s="7"/>
      <c r="D16" s="21" t="s">
        <v>13</v>
      </c>
      <c r="E16" s="11">
        <v>20000</v>
      </c>
      <c r="F16" s="11">
        <f t="shared" si="0"/>
        <v>240000</v>
      </c>
      <c r="G16" s="11">
        <v>30000</v>
      </c>
      <c r="H16" s="12" t="s">
        <v>10</v>
      </c>
      <c r="I16" s="7"/>
    </row>
    <row r="17" spans="3:16" ht="16.5" thickBot="1">
      <c r="C17" s="7"/>
      <c r="D17" s="21" t="s">
        <v>13</v>
      </c>
      <c r="E17" s="11">
        <v>20000</v>
      </c>
      <c r="F17" s="11">
        <f t="shared" si="0"/>
        <v>240000</v>
      </c>
      <c r="G17" s="11">
        <v>30000</v>
      </c>
      <c r="H17" s="12" t="s">
        <v>10</v>
      </c>
      <c r="I17" s="7"/>
    </row>
    <row r="18" spans="3:16" ht="16.5" thickBot="1">
      <c r="C18" s="7"/>
      <c r="D18" s="21" t="s">
        <v>14</v>
      </c>
      <c r="E18" s="11">
        <v>44484.304932735424</v>
      </c>
      <c r="F18" s="11">
        <f t="shared" si="0"/>
        <v>533811.65919282509</v>
      </c>
      <c r="G18" s="11">
        <v>20000</v>
      </c>
      <c r="H18" s="12" t="s">
        <v>10</v>
      </c>
      <c r="I18" s="7"/>
    </row>
    <row r="19" spans="3:16" ht="16.5" thickBot="1">
      <c r="C19" s="7"/>
      <c r="D19" s="21" t="s">
        <v>15</v>
      </c>
      <c r="E19" s="11">
        <v>15000</v>
      </c>
      <c r="F19" s="11">
        <f t="shared" si="0"/>
        <v>180000</v>
      </c>
      <c r="G19" s="12" t="s">
        <v>10</v>
      </c>
      <c r="H19" s="12" t="s">
        <v>10</v>
      </c>
      <c r="I19" s="7"/>
    </row>
    <row r="20" spans="3:16" ht="16.5" thickBot="1">
      <c r="C20" s="7"/>
      <c r="D20" s="21" t="s">
        <v>16</v>
      </c>
      <c r="E20" s="11">
        <f>SUM(E7:E19)</f>
        <v>220484.30493273542</v>
      </c>
      <c r="F20" s="11">
        <f>SUM(F7:F19)</f>
        <v>2645811.6591928252</v>
      </c>
      <c r="G20" s="11">
        <f>SUM(G7:G19)</f>
        <v>350000</v>
      </c>
      <c r="H20" s="11">
        <f>SUM(H7:H19)</f>
        <v>26000000</v>
      </c>
      <c r="I20" s="7"/>
    </row>
    <row r="21" spans="3:16">
      <c r="C21" s="7"/>
      <c r="D21" s="13"/>
      <c r="E21" s="7"/>
      <c r="F21" s="7"/>
      <c r="G21" s="7"/>
      <c r="H21" s="7"/>
      <c r="I21" s="7"/>
    </row>
    <row r="22" spans="3:16" ht="16.5" thickBot="1">
      <c r="C22" s="7"/>
      <c r="D22" s="8" t="s">
        <v>17</v>
      </c>
      <c r="E22" s="20"/>
      <c r="F22" s="20"/>
      <c r="G22" s="20"/>
      <c r="H22" s="20"/>
      <c r="I22" s="7"/>
    </row>
    <row r="23" spans="3:16" ht="47.1" thickBot="1">
      <c r="C23" s="7"/>
      <c r="D23" s="9" t="s">
        <v>18</v>
      </c>
      <c r="E23" s="10" t="s">
        <v>19</v>
      </c>
      <c r="F23" s="10" t="s">
        <v>20</v>
      </c>
      <c r="G23" s="10" t="s">
        <v>21</v>
      </c>
      <c r="H23" s="10" t="s">
        <v>22</v>
      </c>
      <c r="I23" s="7"/>
      <c r="N23" s="9" t="s">
        <v>18</v>
      </c>
      <c r="O23" s="10" t="s">
        <v>19</v>
      </c>
      <c r="P23" s="10" t="s">
        <v>21</v>
      </c>
    </row>
    <row r="24" spans="3:16" ht="17.100000000000001" thickTop="1" thickBot="1">
      <c r="C24" s="7"/>
      <c r="D24" s="21" t="s">
        <v>23</v>
      </c>
      <c r="E24" s="11">
        <v>6000000</v>
      </c>
      <c r="F24" s="14">
        <v>0.05</v>
      </c>
      <c r="G24" s="11">
        <f>E24*F24</f>
        <v>300000</v>
      </c>
      <c r="H24" s="12">
        <v>50</v>
      </c>
      <c r="I24" s="7"/>
      <c r="K24" s="4"/>
      <c r="N24" s="21" t="s">
        <v>23</v>
      </c>
      <c r="O24" s="11">
        <v>6000000</v>
      </c>
      <c r="P24" s="11">
        <v>300000</v>
      </c>
    </row>
    <row r="25" spans="3:16" ht="16.5" thickBot="1">
      <c r="C25" s="7"/>
      <c r="D25" s="21" t="s">
        <v>24</v>
      </c>
      <c r="E25" s="11">
        <v>4000000</v>
      </c>
      <c r="F25" s="14">
        <v>0.6</v>
      </c>
      <c r="G25" s="11">
        <f>E25*F25</f>
        <v>2400000</v>
      </c>
      <c r="H25" s="12">
        <v>40</v>
      </c>
      <c r="I25" s="7"/>
      <c r="N25" s="21" t="s">
        <v>24</v>
      </c>
      <c r="O25" s="11">
        <v>4000000</v>
      </c>
      <c r="P25" s="11">
        <v>2400000</v>
      </c>
    </row>
    <row r="26" spans="3:16" ht="16.5" thickBot="1">
      <c r="C26" s="7"/>
      <c r="D26" s="21" t="s">
        <v>25</v>
      </c>
      <c r="E26" s="11">
        <v>6000000</v>
      </c>
      <c r="F26" s="14">
        <v>0.08</v>
      </c>
      <c r="G26" s="11">
        <f t="shared" ref="G26:G29" si="1">E26*F26</f>
        <v>480000</v>
      </c>
      <c r="H26" s="12">
        <v>40</v>
      </c>
      <c r="I26" s="7"/>
      <c r="N26" s="21" t="s">
        <v>25</v>
      </c>
      <c r="O26" s="11">
        <v>6000000</v>
      </c>
      <c r="P26" s="11">
        <v>480000</v>
      </c>
    </row>
    <row r="27" spans="3:16" ht="16.5" thickBot="1">
      <c r="C27" s="7"/>
      <c r="D27" s="21" t="s">
        <v>26</v>
      </c>
      <c r="E27" s="11">
        <v>4000000</v>
      </c>
      <c r="F27" s="14">
        <v>0.6</v>
      </c>
      <c r="G27" s="11">
        <f t="shared" si="1"/>
        <v>2400000</v>
      </c>
      <c r="H27" s="12">
        <v>50</v>
      </c>
      <c r="I27" s="7"/>
      <c r="N27" s="21" t="s">
        <v>26</v>
      </c>
      <c r="O27" s="11">
        <v>4000000</v>
      </c>
      <c r="P27" s="11">
        <v>2400000</v>
      </c>
    </row>
    <row r="28" spans="3:16" ht="16.5" thickBot="1">
      <c r="C28" s="7"/>
      <c r="D28" s="21" t="s">
        <v>27</v>
      </c>
      <c r="E28" s="11">
        <v>6000000</v>
      </c>
      <c r="F28" s="14">
        <v>0.2</v>
      </c>
      <c r="G28" s="11">
        <f t="shared" si="1"/>
        <v>1200000</v>
      </c>
      <c r="H28" s="12">
        <v>30</v>
      </c>
      <c r="I28" s="7"/>
      <c r="N28" s="21" t="s">
        <v>27</v>
      </c>
      <c r="O28" s="11">
        <v>6000000</v>
      </c>
      <c r="P28" s="11">
        <v>1200000</v>
      </c>
    </row>
    <row r="29" spans="3:16" ht="16.5" thickBot="1">
      <c r="C29" s="7"/>
      <c r="D29" s="21" t="s">
        <v>28</v>
      </c>
      <c r="E29" s="11">
        <v>1000000</v>
      </c>
      <c r="F29" s="14">
        <v>0.4</v>
      </c>
      <c r="G29" s="11">
        <f t="shared" si="1"/>
        <v>400000</v>
      </c>
      <c r="H29" s="12">
        <v>20</v>
      </c>
      <c r="I29" s="7"/>
      <c r="N29" s="21" t="s">
        <v>28</v>
      </c>
      <c r="O29" s="11">
        <v>1000000</v>
      </c>
      <c r="P29" s="11">
        <v>400000</v>
      </c>
    </row>
    <row r="30" spans="3:16" ht="16.5" thickBot="1">
      <c r="C30" s="7"/>
      <c r="D30" s="21" t="s">
        <v>16</v>
      </c>
      <c r="E30" s="11">
        <f>SUM(E24:E29)</f>
        <v>27000000</v>
      </c>
      <c r="F30" s="12" t="s">
        <v>10</v>
      </c>
      <c r="G30" s="11">
        <f>SUM(G24:G29)</f>
        <v>7180000</v>
      </c>
      <c r="H30" s="12" t="s">
        <v>10</v>
      </c>
      <c r="I30" s="7"/>
      <c r="O30" s="11">
        <f>SUM(O24:O29)</f>
        <v>27000000</v>
      </c>
      <c r="P30" s="57">
        <f>SUM(P24:P29)</f>
        <v>7180000</v>
      </c>
    </row>
    <row r="31" spans="3:16">
      <c r="C31" s="7"/>
      <c r="D31" s="13"/>
      <c r="E31" s="7"/>
      <c r="F31" s="7"/>
      <c r="G31" s="7"/>
      <c r="H31" s="7"/>
      <c r="I31" s="7"/>
    </row>
    <row r="32" spans="3:16" ht="16.5" thickBot="1">
      <c r="C32" s="7"/>
      <c r="D32" s="8" t="s">
        <v>29</v>
      </c>
      <c r="E32" s="20"/>
      <c r="F32" s="7"/>
      <c r="G32" s="7"/>
      <c r="H32" s="7"/>
      <c r="I32" s="7"/>
    </row>
    <row r="33" spans="3:13" ht="31.5" thickBot="1">
      <c r="C33" s="7"/>
      <c r="D33" s="9" t="s">
        <v>30</v>
      </c>
      <c r="E33" s="10" t="s">
        <v>31</v>
      </c>
      <c r="F33" s="7"/>
      <c r="G33" s="7"/>
      <c r="H33" s="7"/>
      <c r="I33" s="7"/>
    </row>
    <row r="34" spans="3:13" ht="17.100000000000001" thickTop="1" thickBot="1">
      <c r="C34" s="7"/>
      <c r="D34" s="21" t="s">
        <v>32</v>
      </c>
      <c r="E34" s="11">
        <f>F20</f>
        <v>2645811.6591928252</v>
      </c>
      <c r="F34" s="7"/>
      <c r="G34" s="7"/>
      <c r="H34" s="7"/>
      <c r="I34" s="7"/>
    </row>
    <row r="35" spans="3:13" ht="16.5" thickBot="1">
      <c r="C35" s="7"/>
      <c r="D35" s="21" t="s">
        <v>33</v>
      </c>
      <c r="E35" s="11">
        <f>G20</f>
        <v>350000</v>
      </c>
      <c r="F35" s="7"/>
      <c r="G35" s="7"/>
      <c r="H35" s="7"/>
      <c r="I35" s="7"/>
    </row>
    <row r="36" spans="3:13" ht="16.5" thickBot="1">
      <c r="C36" s="7"/>
      <c r="D36" s="21" t="s">
        <v>34</v>
      </c>
      <c r="E36" s="11">
        <f>G30</f>
        <v>7180000</v>
      </c>
      <c r="F36" s="7"/>
      <c r="G36" s="7"/>
      <c r="H36" s="7"/>
      <c r="I36" s="7"/>
    </row>
    <row r="37" spans="3:13" ht="16.5" thickBot="1">
      <c r="C37" s="7"/>
      <c r="D37" s="21" t="s">
        <v>35</v>
      </c>
      <c r="E37" s="11">
        <f>E36-E35-E34</f>
        <v>4184188.3408071748</v>
      </c>
      <c r="F37" s="7"/>
      <c r="G37" s="7"/>
      <c r="H37" s="7"/>
      <c r="I37" s="7"/>
    </row>
    <row r="38" spans="3:13">
      <c r="C38" s="7"/>
      <c r="D38" s="13"/>
      <c r="E38" s="7"/>
      <c r="F38" s="7"/>
      <c r="G38" s="7"/>
      <c r="H38" s="7"/>
      <c r="I38" s="7"/>
    </row>
    <row r="39" spans="3:13">
      <c r="C39" s="7"/>
      <c r="D39" s="7"/>
      <c r="E39" s="7"/>
      <c r="F39" s="7"/>
      <c r="G39" s="7"/>
      <c r="H39" s="7"/>
      <c r="I39" s="7"/>
    </row>
    <row r="40" spans="3:13">
      <c r="C40" s="7"/>
      <c r="H40" s="7"/>
      <c r="I40" s="7"/>
    </row>
    <row r="41" spans="3:13" ht="62.1">
      <c r="C41" s="7"/>
      <c r="H41" s="7"/>
      <c r="I41" s="15" t="s">
        <v>36</v>
      </c>
      <c r="J41" s="20"/>
      <c r="K41" s="20"/>
      <c r="L41" s="20"/>
      <c r="M41" s="7"/>
    </row>
    <row r="42" spans="3:13" ht="46.5">
      <c r="C42" s="7"/>
      <c r="H42" s="7"/>
      <c r="I42" s="16" t="s">
        <v>2</v>
      </c>
      <c r="J42" s="17" t="s">
        <v>37</v>
      </c>
      <c r="K42" s="17" t="s">
        <v>3</v>
      </c>
      <c r="L42" s="17" t="s">
        <v>4</v>
      </c>
      <c r="M42" s="7"/>
    </row>
    <row r="43" spans="3:13" ht="30.95">
      <c r="C43" s="7"/>
      <c r="H43" s="7"/>
      <c r="I43" s="18" t="s">
        <v>38</v>
      </c>
      <c r="J43" s="19">
        <f>K43*22.3</f>
        <v>111500</v>
      </c>
      <c r="K43" s="19">
        <v>5000</v>
      </c>
      <c r="L43" s="19">
        <f>K43*12</f>
        <v>60000</v>
      </c>
      <c r="M43" s="7"/>
    </row>
    <row r="44" spans="3:13" ht="93">
      <c r="C44" s="7"/>
      <c r="H44" s="7"/>
      <c r="I44" s="18" t="s">
        <v>39</v>
      </c>
      <c r="J44" s="19">
        <f t="shared" ref="J44:J58" si="2">K44*22.3</f>
        <v>100350</v>
      </c>
      <c r="K44" s="19">
        <v>4500</v>
      </c>
      <c r="L44" s="19">
        <f t="shared" ref="L44:L58" si="3">K44*12</f>
        <v>54000</v>
      </c>
      <c r="M44" s="7"/>
    </row>
    <row r="45" spans="3:13" ht="93">
      <c r="C45" s="7"/>
      <c r="H45" s="7"/>
      <c r="I45" s="18" t="s">
        <v>40</v>
      </c>
      <c r="J45" s="19">
        <f t="shared" si="2"/>
        <v>44600</v>
      </c>
      <c r="K45" s="19">
        <v>2000</v>
      </c>
      <c r="L45" s="19">
        <f t="shared" si="3"/>
        <v>24000</v>
      </c>
      <c r="M45" s="7"/>
    </row>
    <row r="46" spans="3:13" ht="93">
      <c r="C46" s="7"/>
      <c r="H46" s="7"/>
      <c r="I46" s="18" t="s">
        <v>40</v>
      </c>
      <c r="J46" s="19">
        <f t="shared" si="2"/>
        <v>44600</v>
      </c>
      <c r="K46" s="19">
        <v>2000</v>
      </c>
      <c r="L46" s="19">
        <f t="shared" si="3"/>
        <v>24000</v>
      </c>
      <c r="M46" s="7"/>
    </row>
    <row r="47" spans="3:13" ht="30.95">
      <c r="C47" s="7"/>
      <c r="H47" s="7"/>
      <c r="I47" s="18" t="s">
        <v>41</v>
      </c>
      <c r="J47" s="19">
        <f t="shared" si="2"/>
        <v>66900</v>
      </c>
      <c r="K47" s="19">
        <v>3000</v>
      </c>
      <c r="L47" s="19">
        <f t="shared" si="3"/>
        <v>36000</v>
      </c>
      <c r="M47" s="7"/>
    </row>
    <row r="48" spans="3:13" ht="30.95">
      <c r="C48" s="7"/>
      <c r="H48" s="7"/>
      <c r="I48" s="18" t="s">
        <v>41</v>
      </c>
      <c r="J48" s="19">
        <f t="shared" si="2"/>
        <v>66900</v>
      </c>
      <c r="K48" s="19">
        <v>3000</v>
      </c>
      <c r="L48" s="19">
        <f t="shared" si="3"/>
        <v>36000</v>
      </c>
      <c r="M48" s="7"/>
    </row>
    <row r="49" spans="3:13" ht="77.45">
      <c r="C49" s="7"/>
      <c r="H49" s="7"/>
      <c r="I49" s="18" t="s">
        <v>42</v>
      </c>
      <c r="J49" s="19">
        <f t="shared" si="2"/>
        <v>44600</v>
      </c>
      <c r="K49" s="19">
        <v>2000</v>
      </c>
      <c r="L49" s="19">
        <f t="shared" si="3"/>
        <v>24000</v>
      </c>
      <c r="M49" s="7"/>
    </row>
    <row r="50" spans="3:13" ht="77.45">
      <c r="C50" s="7"/>
      <c r="H50" s="7"/>
      <c r="I50" s="18" t="s">
        <v>43</v>
      </c>
      <c r="J50" s="19">
        <f t="shared" si="2"/>
        <v>44600</v>
      </c>
      <c r="K50" s="19">
        <v>2000</v>
      </c>
      <c r="L50" s="19">
        <f t="shared" si="3"/>
        <v>24000</v>
      </c>
      <c r="M50" s="7"/>
    </row>
    <row r="51" spans="3:13" ht="46.5">
      <c r="C51" s="7"/>
      <c r="H51" s="7"/>
      <c r="I51" s="18" t="s">
        <v>44</v>
      </c>
      <c r="J51" s="19">
        <f t="shared" si="2"/>
        <v>44600</v>
      </c>
      <c r="K51" s="19">
        <v>2000</v>
      </c>
      <c r="L51" s="19">
        <f t="shared" si="3"/>
        <v>24000</v>
      </c>
      <c r="M51" s="7"/>
    </row>
    <row r="52" spans="3:13" ht="62.1">
      <c r="C52" s="7"/>
      <c r="H52" s="7"/>
      <c r="I52" s="18" t="s">
        <v>45</v>
      </c>
      <c r="J52" s="19">
        <v>50000</v>
      </c>
      <c r="K52" s="19">
        <f>J52/22.3</f>
        <v>2242.1524663677128</v>
      </c>
      <c r="L52" s="19">
        <f t="shared" si="3"/>
        <v>26905.829596412554</v>
      </c>
      <c r="M52" s="7"/>
    </row>
    <row r="53" spans="3:13" ht="62.1">
      <c r="C53" s="7"/>
      <c r="H53" s="7"/>
      <c r="I53" s="18" t="s">
        <v>45</v>
      </c>
      <c r="J53" s="19">
        <v>50000</v>
      </c>
      <c r="K53" s="19">
        <f>J53/22.3</f>
        <v>2242.1524663677128</v>
      </c>
      <c r="L53" s="19">
        <f t="shared" si="3"/>
        <v>26905.829596412554</v>
      </c>
      <c r="M53" s="7"/>
    </row>
    <row r="54" spans="3:13" ht="93">
      <c r="C54" s="7"/>
      <c r="H54" s="7"/>
      <c r="I54" s="18" t="s">
        <v>46</v>
      </c>
      <c r="J54" s="19">
        <f t="shared" si="2"/>
        <v>44600</v>
      </c>
      <c r="K54" s="19">
        <v>2000</v>
      </c>
      <c r="L54" s="19">
        <f t="shared" si="3"/>
        <v>24000</v>
      </c>
      <c r="M54" s="7"/>
    </row>
    <row r="55" spans="3:13" ht="46.5">
      <c r="C55" s="7"/>
      <c r="H55" s="7"/>
      <c r="I55" s="18" t="s">
        <v>47</v>
      </c>
      <c r="J55" s="19">
        <f t="shared" si="2"/>
        <v>66900</v>
      </c>
      <c r="K55" s="19">
        <v>3000</v>
      </c>
      <c r="L55" s="19">
        <f t="shared" si="3"/>
        <v>36000</v>
      </c>
      <c r="M55" s="7"/>
    </row>
    <row r="56" spans="3:13" ht="93">
      <c r="C56" s="7"/>
      <c r="H56" s="7"/>
      <c r="I56" s="18" t="s">
        <v>48</v>
      </c>
      <c r="J56" s="19">
        <f t="shared" si="2"/>
        <v>55750</v>
      </c>
      <c r="K56" s="19">
        <v>2500</v>
      </c>
      <c r="L56" s="19">
        <f t="shared" si="3"/>
        <v>30000</v>
      </c>
      <c r="M56" s="7"/>
    </row>
    <row r="57" spans="3:13">
      <c r="C57" s="7"/>
      <c r="H57" s="7"/>
      <c r="I57" s="18" t="s">
        <v>49</v>
      </c>
      <c r="J57" s="19">
        <f t="shared" si="2"/>
        <v>100350</v>
      </c>
      <c r="K57" s="19">
        <v>4500</v>
      </c>
      <c r="L57" s="19">
        <f t="shared" si="3"/>
        <v>54000</v>
      </c>
      <c r="M57" s="7"/>
    </row>
    <row r="58" spans="3:13" ht="46.5">
      <c r="C58" s="7"/>
      <c r="H58" s="7"/>
      <c r="I58" s="18" t="s">
        <v>50</v>
      </c>
      <c r="J58" s="19">
        <f t="shared" si="2"/>
        <v>55750</v>
      </c>
      <c r="K58" s="19">
        <v>2500</v>
      </c>
      <c r="L58" s="19">
        <f t="shared" si="3"/>
        <v>30000</v>
      </c>
      <c r="M58" s="7"/>
    </row>
    <row r="59" spans="3:13">
      <c r="C59" s="7"/>
      <c r="D59" s="7"/>
      <c r="E59" s="7"/>
      <c r="F59" s="7"/>
      <c r="G59" s="7"/>
      <c r="H59" s="7"/>
      <c r="I59" s="18" t="s">
        <v>16</v>
      </c>
      <c r="J59" s="19">
        <f>SUM(J43:J58)</f>
        <v>992000</v>
      </c>
      <c r="K59" s="19">
        <f>SUM(K43:K58)</f>
        <v>44484.304932735424</v>
      </c>
      <c r="L59" s="19">
        <f>SUM(L43:L58)</f>
        <v>533811.65919282509</v>
      </c>
      <c r="M59" s="7"/>
    </row>
  </sheetData>
  <pageMargins left="0.7" right="0.7" top="0.75" bottom="0.75" header="0.3" footer="0.3"/>
  <pageSetup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4CF-48E2-4763-BC54-A342BC2A1256}">
  <sheetPr>
    <pageSetUpPr fitToPage="1"/>
  </sheetPr>
  <dimension ref="A3:J30"/>
  <sheetViews>
    <sheetView showGridLines="0" topLeftCell="E1" zoomScale="85" zoomScaleNormal="85" workbookViewId="0">
      <selection activeCell="K1" sqref="K1:AG1048576"/>
    </sheetView>
  </sheetViews>
  <sheetFormatPr defaultRowHeight="14.45"/>
  <cols>
    <col min="1" max="1" width="0" hidden="1" customWidth="1"/>
    <col min="2" max="2" width="17.5703125" hidden="1" customWidth="1"/>
    <col min="3" max="3" width="0" hidden="1" customWidth="1"/>
    <col min="4" max="4" width="22.5703125" hidden="1" customWidth="1"/>
    <col min="6" max="6" width="50.85546875" bestFit="1" customWidth="1"/>
    <col min="7" max="7" width="59.140625" bestFit="1" customWidth="1"/>
    <col min="8" max="8" width="35.42578125" bestFit="1" customWidth="1"/>
  </cols>
  <sheetData>
    <row r="3" spans="1:10" ht="17.45">
      <c r="B3" t="s">
        <v>51</v>
      </c>
      <c r="D3" t="s">
        <v>52</v>
      </c>
      <c r="F3" s="5" t="s">
        <v>53</v>
      </c>
    </row>
    <row r="4" spans="1:10">
      <c r="A4">
        <v>1</v>
      </c>
      <c r="B4" t="s">
        <v>54</v>
      </c>
      <c r="D4" t="s">
        <v>55</v>
      </c>
    </row>
    <row r="5" spans="1:10">
      <c r="A5">
        <v>2</v>
      </c>
      <c r="B5" t="s">
        <v>56</v>
      </c>
      <c r="F5" s="2" t="s">
        <v>57</v>
      </c>
      <c r="G5" s="2" t="s">
        <v>58</v>
      </c>
      <c r="H5" s="2" t="s">
        <v>59</v>
      </c>
    </row>
    <row r="6" spans="1:10">
      <c r="A6">
        <v>3</v>
      </c>
      <c r="B6" t="s">
        <v>60</v>
      </c>
      <c r="F6" s="6" t="s">
        <v>61</v>
      </c>
      <c r="G6" s="6" t="s">
        <v>62</v>
      </c>
      <c r="H6" s="6" t="s">
        <v>63</v>
      </c>
    </row>
    <row r="7" spans="1:10">
      <c r="A7">
        <v>4</v>
      </c>
      <c r="B7" t="s">
        <v>64</v>
      </c>
      <c r="F7" s="6" t="s">
        <v>60</v>
      </c>
      <c r="G7" s="6" t="s">
        <v>65</v>
      </c>
      <c r="H7" s="6" t="s">
        <v>66</v>
      </c>
    </row>
    <row r="8" spans="1:10">
      <c r="A8">
        <v>5</v>
      </c>
      <c r="B8" t="s">
        <v>67</v>
      </c>
      <c r="F8" s="6" t="s">
        <v>68</v>
      </c>
      <c r="G8" s="6" t="s">
        <v>69</v>
      </c>
      <c r="H8" s="6" t="s">
        <v>70</v>
      </c>
    </row>
    <row r="9" spans="1:10" ht="29.1">
      <c r="A9">
        <v>6</v>
      </c>
      <c r="B9" t="s">
        <v>71</v>
      </c>
      <c r="F9" s="6" t="s">
        <v>72</v>
      </c>
      <c r="G9" s="6" t="s">
        <v>73</v>
      </c>
      <c r="H9" s="6" t="s">
        <v>74</v>
      </c>
      <c r="J9" s="22" t="s">
        <v>75</v>
      </c>
    </row>
    <row r="10" spans="1:10">
      <c r="A10">
        <v>7</v>
      </c>
      <c r="B10" t="s">
        <v>76</v>
      </c>
      <c r="F10" s="6" t="s">
        <v>77</v>
      </c>
      <c r="G10" s="6" t="s">
        <v>78</v>
      </c>
      <c r="H10" s="6" t="s">
        <v>79</v>
      </c>
    </row>
    <row r="11" spans="1:10">
      <c r="A11">
        <v>8</v>
      </c>
      <c r="B11" t="s">
        <v>80</v>
      </c>
      <c r="F11" s="6" t="s">
        <v>81</v>
      </c>
      <c r="G11" s="6" t="s">
        <v>82</v>
      </c>
      <c r="H11" s="6" t="s">
        <v>83</v>
      </c>
    </row>
    <row r="12" spans="1:10">
      <c r="A12">
        <v>9</v>
      </c>
      <c r="B12" t="s">
        <v>84</v>
      </c>
      <c r="F12" s="6" t="s">
        <v>80</v>
      </c>
      <c r="G12" s="6" t="s">
        <v>85</v>
      </c>
      <c r="H12" s="6" t="s">
        <v>86</v>
      </c>
    </row>
    <row r="13" spans="1:10">
      <c r="A13">
        <v>10</v>
      </c>
      <c r="B13" t="s">
        <v>87</v>
      </c>
      <c r="F13" s="6" t="s">
        <v>88</v>
      </c>
      <c r="G13" s="6" t="s">
        <v>89</v>
      </c>
      <c r="H13" s="6" t="s">
        <v>63</v>
      </c>
    </row>
    <row r="14" spans="1:10">
      <c r="A14">
        <v>11</v>
      </c>
      <c r="F14" s="6" t="s">
        <v>90</v>
      </c>
      <c r="G14" s="6" t="s">
        <v>91</v>
      </c>
      <c r="H14" s="6" t="s">
        <v>92</v>
      </c>
    </row>
    <row r="16" spans="1:10" ht="17.45">
      <c r="F16" s="5" t="s">
        <v>93</v>
      </c>
    </row>
    <row r="18" spans="6:8">
      <c r="F18" s="2" t="s">
        <v>94</v>
      </c>
      <c r="G18" s="2" t="s">
        <v>95</v>
      </c>
      <c r="H18" s="2" t="s">
        <v>59</v>
      </c>
    </row>
    <row r="19" spans="6:8">
      <c r="F19" s="6" t="s">
        <v>96</v>
      </c>
      <c r="G19" s="6" t="s">
        <v>97</v>
      </c>
      <c r="H19" s="6" t="s">
        <v>98</v>
      </c>
    </row>
    <row r="20" spans="6:8">
      <c r="F20" s="6" t="s">
        <v>99</v>
      </c>
      <c r="G20" s="6" t="s">
        <v>100</v>
      </c>
      <c r="H20" s="6" t="s">
        <v>101</v>
      </c>
    </row>
    <row r="21" spans="6:8">
      <c r="F21" s="6" t="s">
        <v>102</v>
      </c>
      <c r="G21" s="6" t="s">
        <v>103</v>
      </c>
      <c r="H21" s="6" t="s">
        <v>104</v>
      </c>
    </row>
    <row r="22" spans="6:8">
      <c r="F22" s="6" t="s">
        <v>105</v>
      </c>
      <c r="G22" s="6" t="s">
        <v>106</v>
      </c>
      <c r="H22" s="6" t="s">
        <v>107</v>
      </c>
    </row>
    <row r="23" spans="6:8">
      <c r="F23" s="6" t="s">
        <v>108</v>
      </c>
      <c r="G23" s="6" t="s">
        <v>109</v>
      </c>
      <c r="H23" s="6" t="s">
        <v>110</v>
      </c>
    </row>
    <row r="24" spans="6:8">
      <c r="F24" s="6" t="s">
        <v>111</v>
      </c>
      <c r="G24" s="6" t="s">
        <v>112</v>
      </c>
      <c r="H24" s="6" t="s">
        <v>113</v>
      </c>
    </row>
    <row r="25" spans="6:8">
      <c r="F25" s="6" t="s">
        <v>114</v>
      </c>
      <c r="G25" s="6" t="s">
        <v>115</v>
      </c>
      <c r="H25" s="6" t="s">
        <v>116</v>
      </c>
    </row>
    <row r="26" spans="6:8">
      <c r="F26" s="6" t="s">
        <v>117</v>
      </c>
      <c r="G26" s="6" t="s">
        <v>118</v>
      </c>
      <c r="H26" s="6" t="s">
        <v>107</v>
      </c>
    </row>
    <row r="27" spans="6:8">
      <c r="F27" s="6" t="s">
        <v>119</v>
      </c>
      <c r="G27" s="6" t="s">
        <v>120</v>
      </c>
      <c r="H27" s="6" t="s">
        <v>121</v>
      </c>
    </row>
    <row r="28" spans="6:8">
      <c r="F28" s="6" t="s">
        <v>122</v>
      </c>
      <c r="G28" s="6" t="s">
        <v>123</v>
      </c>
      <c r="H28" s="6" t="s">
        <v>124</v>
      </c>
    </row>
    <row r="29" spans="6:8">
      <c r="F29" s="6" t="s">
        <v>125</v>
      </c>
      <c r="G29" s="6" t="s">
        <v>126</v>
      </c>
      <c r="H29" s="6" t="s">
        <v>113</v>
      </c>
    </row>
    <row r="30" spans="6:8">
      <c r="F30" s="6" t="s">
        <v>127</v>
      </c>
      <c r="G30" s="6" t="s">
        <v>128</v>
      </c>
      <c r="H30" s="6" t="s">
        <v>129</v>
      </c>
    </row>
  </sheetData>
  <pageMargins left="0.7" right="0.7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D569-FBBB-437C-A3F3-1907512294A1}">
  <dimension ref="C2:J40"/>
  <sheetViews>
    <sheetView tabSelected="1" topLeftCell="A8" workbookViewId="0">
      <selection activeCell="F1" sqref="F1:F1048576"/>
    </sheetView>
  </sheetViews>
  <sheetFormatPr defaultRowHeight="14.45"/>
  <cols>
    <col min="3" max="3" width="4.7109375" bestFit="1" customWidth="1"/>
    <col min="4" max="4" width="22.85546875" customWidth="1"/>
    <col min="5" max="5" width="21.5703125" bestFit="1" customWidth="1"/>
    <col min="6" max="6" width="18.5703125" customWidth="1"/>
    <col min="7" max="7" width="23.5703125" customWidth="1"/>
    <col min="8" max="8" width="20.5703125" bestFit="1" customWidth="1"/>
    <col min="9" max="9" width="20.5703125" customWidth="1"/>
    <col min="10" max="10" width="15.5703125" bestFit="1" customWidth="1"/>
  </cols>
  <sheetData>
    <row r="2" spans="3:10">
      <c r="D2" t="s">
        <v>130</v>
      </c>
      <c r="H2" t="s">
        <v>131</v>
      </c>
    </row>
    <row r="3" spans="3:10">
      <c r="C3" s="25" t="s">
        <v>132</v>
      </c>
      <c r="D3" s="25" t="s">
        <v>133</v>
      </c>
      <c r="E3" s="25" t="s">
        <v>134</v>
      </c>
      <c r="F3" s="25" t="s">
        <v>135</v>
      </c>
      <c r="H3" s="25" t="s">
        <v>136</v>
      </c>
      <c r="I3" s="25"/>
      <c r="J3" s="25" t="s">
        <v>137</v>
      </c>
    </row>
    <row r="4" spans="3:10">
      <c r="C4" s="26">
        <v>1</v>
      </c>
      <c r="D4" s="28">
        <v>45812</v>
      </c>
      <c r="E4" s="26" t="s">
        <v>138</v>
      </c>
      <c r="F4" s="27">
        <v>358669</v>
      </c>
      <c r="H4" s="31">
        <v>45748</v>
      </c>
      <c r="I4" s="31" t="s">
        <v>139</v>
      </c>
      <c r="J4" s="32">
        <v>3000</v>
      </c>
    </row>
    <row r="5" spans="3:10">
      <c r="C5" s="26">
        <v>2</v>
      </c>
      <c r="D5" s="28">
        <v>45748</v>
      </c>
      <c r="E5" s="26" t="s">
        <v>140</v>
      </c>
      <c r="F5" s="27">
        <v>7000</v>
      </c>
      <c r="H5" s="31">
        <v>45778</v>
      </c>
      <c r="I5" s="31" t="s">
        <v>139</v>
      </c>
      <c r="J5" s="32">
        <v>38500</v>
      </c>
    </row>
    <row r="6" spans="3:10">
      <c r="C6" s="26">
        <v>3</v>
      </c>
      <c r="D6" s="28">
        <v>45792</v>
      </c>
      <c r="E6" s="26" t="s">
        <v>141</v>
      </c>
      <c r="F6" s="27">
        <v>50000</v>
      </c>
      <c r="H6" s="31">
        <v>45809</v>
      </c>
      <c r="I6" s="31" t="s">
        <v>139</v>
      </c>
      <c r="J6" s="32">
        <v>22500</v>
      </c>
    </row>
    <row r="7" spans="3:10">
      <c r="C7" s="26">
        <v>4</v>
      </c>
      <c r="D7" s="28">
        <v>45828</v>
      </c>
      <c r="E7" s="26" t="s">
        <v>142</v>
      </c>
      <c r="F7" s="27">
        <v>5000</v>
      </c>
      <c r="H7" s="31">
        <v>45870</v>
      </c>
      <c r="I7" s="31" t="s">
        <v>139</v>
      </c>
      <c r="J7" s="32">
        <v>35500</v>
      </c>
    </row>
    <row r="8" spans="3:10">
      <c r="C8" s="26" t="s">
        <v>143</v>
      </c>
      <c r="D8" s="28">
        <v>45792</v>
      </c>
      <c r="E8" s="26" t="s">
        <v>144</v>
      </c>
      <c r="F8" s="27">
        <v>80000</v>
      </c>
      <c r="H8" s="31">
        <v>45901</v>
      </c>
      <c r="I8" s="31" t="s">
        <v>139</v>
      </c>
      <c r="J8" s="32">
        <v>21500</v>
      </c>
    </row>
    <row r="9" spans="3:10">
      <c r="C9" s="26">
        <v>5</v>
      </c>
      <c r="D9" s="28">
        <v>45843</v>
      </c>
      <c r="E9" s="26" t="s">
        <v>145</v>
      </c>
      <c r="F9" s="27">
        <v>190000</v>
      </c>
      <c r="H9" s="31">
        <v>45931</v>
      </c>
      <c r="I9" s="31" t="s">
        <v>139</v>
      </c>
      <c r="J9" s="32">
        <v>21500</v>
      </c>
    </row>
    <row r="10" spans="3:10">
      <c r="C10" s="26">
        <v>6</v>
      </c>
      <c r="D10" s="28">
        <v>45844</v>
      </c>
      <c r="E10" s="26" t="s">
        <v>146</v>
      </c>
      <c r="F10" s="27">
        <v>94400</v>
      </c>
      <c r="H10" s="31">
        <v>45962</v>
      </c>
      <c r="I10" s="31" t="s">
        <v>139</v>
      </c>
      <c r="J10" s="32">
        <v>21500</v>
      </c>
    </row>
    <row r="11" spans="3:10">
      <c r="C11" s="26">
        <v>7</v>
      </c>
      <c r="D11" s="28">
        <v>45846</v>
      </c>
      <c r="E11" s="26" t="s">
        <v>147</v>
      </c>
      <c r="F11" s="27">
        <v>334315.33</v>
      </c>
      <c r="H11" s="31">
        <v>45992</v>
      </c>
      <c r="I11" s="31" t="s">
        <v>139</v>
      </c>
      <c r="J11" s="32">
        <v>21500</v>
      </c>
    </row>
    <row r="12" spans="3:10">
      <c r="C12" s="26">
        <v>8</v>
      </c>
      <c r="D12" s="28">
        <v>45846</v>
      </c>
      <c r="E12" s="26" t="s">
        <v>148</v>
      </c>
      <c r="F12" s="27">
        <v>28392</v>
      </c>
      <c r="H12" s="33"/>
      <c r="I12" s="33" t="s">
        <v>149</v>
      </c>
      <c r="J12" s="34">
        <v>68699.48</v>
      </c>
    </row>
    <row r="13" spans="3:10">
      <c r="C13" s="26">
        <v>9</v>
      </c>
      <c r="D13" s="28">
        <v>45846</v>
      </c>
      <c r="E13" s="26" t="s">
        <v>150</v>
      </c>
      <c r="F13" s="27">
        <v>79890</v>
      </c>
      <c r="H13" s="33"/>
      <c r="I13" s="33" t="s">
        <v>151</v>
      </c>
      <c r="J13" s="34">
        <v>66405.929999999993</v>
      </c>
    </row>
    <row r="14" spans="3:10">
      <c r="C14" s="26">
        <v>10</v>
      </c>
      <c r="D14" s="28">
        <v>45869</v>
      </c>
      <c r="E14" s="26" t="s">
        <v>152</v>
      </c>
      <c r="F14" s="27">
        <v>430595</v>
      </c>
    </row>
    <row r="15" spans="3:10">
      <c r="C15" s="26">
        <v>11</v>
      </c>
      <c r="D15" s="28">
        <v>45869</v>
      </c>
      <c r="E15" s="26" t="s">
        <v>153</v>
      </c>
      <c r="F15" s="27">
        <v>2500</v>
      </c>
      <c r="J15" s="29">
        <f>SUM(J4:J14)</f>
        <v>320605.40999999997</v>
      </c>
    </row>
    <row r="16" spans="3:10">
      <c r="C16" s="26">
        <v>12</v>
      </c>
      <c r="D16" s="28">
        <v>45872</v>
      </c>
      <c r="E16" s="26" t="s">
        <v>49</v>
      </c>
      <c r="F16" s="27">
        <v>94400</v>
      </c>
    </row>
    <row r="17" spans="3:7">
      <c r="C17" s="26">
        <v>13</v>
      </c>
      <c r="D17" s="28">
        <v>45903</v>
      </c>
      <c r="E17" s="26" t="s">
        <v>49</v>
      </c>
      <c r="F17" s="27">
        <v>94400</v>
      </c>
    </row>
    <row r="18" spans="3:7">
      <c r="C18" s="26">
        <v>14</v>
      </c>
      <c r="D18" s="28">
        <v>45903</v>
      </c>
      <c r="E18" s="26" t="s">
        <v>154</v>
      </c>
      <c r="F18" s="27">
        <v>12055.32</v>
      </c>
    </row>
    <row r="19" spans="3:7">
      <c r="C19" s="26">
        <v>15</v>
      </c>
      <c r="D19" s="28">
        <v>45903</v>
      </c>
      <c r="E19" s="26" t="s">
        <v>155</v>
      </c>
      <c r="F19" s="27">
        <v>377733</v>
      </c>
    </row>
    <row r="20" spans="3:7">
      <c r="C20" s="26">
        <v>17</v>
      </c>
      <c r="D20" s="28">
        <v>45910</v>
      </c>
      <c r="E20" s="26" t="s">
        <v>156</v>
      </c>
      <c r="F20" s="27">
        <v>53000</v>
      </c>
    </row>
    <row r="21" spans="3:7">
      <c r="C21" s="26">
        <v>18</v>
      </c>
      <c r="D21" s="28">
        <v>45929</v>
      </c>
      <c r="E21" s="26" t="s">
        <v>157</v>
      </c>
      <c r="F21" s="27">
        <v>38357</v>
      </c>
    </row>
    <row r="22" spans="3:7">
      <c r="C22" s="26">
        <v>19</v>
      </c>
      <c r="D22" s="28">
        <v>45930</v>
      </c>
      <c r="E22" s="26" t="s">
        <v>158</v>
      </c>
      <c r="F22" s="27">
        <v>7327</v>
      </c>
    </row>
    <row r="23" spans="3:7">
      <c r="C23" s="26">
        <v>20</v>
      </c>
      <c r="D23" s="28">
        <v>45930</v>
      </c>
      <c r="E23" s="26" t="s">
        <v>159</v>
      </c>
      <c r="F23" s="27">
        <v>10000</v>
      </c>
    </row>
    <row r="24" spans="3:7">
      <c r="C24" s="26">
        <v>21</v>
      </c>
      <c r="D24" s="28">
        <v>45930</v>
      </c>
      <c r="E24" s="26" t="s">
        <v>160</v>
      </c>
      <c r="F24" s="27">
        <v>395733</v>
      </c>
    </row>
    <row r="25" spans="3:7">
      <c r="C25" s="26">
        <v>22</v>
      </c>
      <c r="D25" s="28">
        <v>45934</v>
      </c>
      <c r="E25" s="26" t="s">
        <v>161</v>
      </c>
      <c r="F25" s="27">
        <v>94400</v>
      </c>
    </row>
    <row r="26" spans="3:7">
      <c r="C26" s="26">
        <v>23</v>
      </c>
      <c r="D26" s="28">
        <v>45937</v>
      </c>
      <c r="E26" s="26" t="s">
        <v>162</v>
      </c>
      <c r="F26" s="27">
        <v>80000</v>
      </c>
    </row>
    <row r="27" spans="3:7">
      <c r="C27" s="26">
        <v>24</v>
      </c>
      <c r="D27" s="28">
        <v>45960</v>
      </c>
      <c r="E27" s="26" t="s">
        <v>163</v>
      </c>
      <c r="F27" s="27">
        <v>397733</v>
      </c>
    </row>
    <row r="28" spans="3:7">
      <c r="C28" s="26">
        <v>25</v>
      </c>
      <c r="D28" s="28">
        <v>45960</v>
      </c>
      <c r="E28" s="26" t="s">
        <v>164</v>
      </c>
      <c r="F28" s="27">
        <v>94400</v>
      </c>
    </row>
    <row r="29" spans="3:7">
      <c r="C29" s="26">
        <v>26</v>
      </c>
      <c r="D29" s="28">
        <v>45960</v>
      </c>
      <c r="E29" s="26" t="s">
        <v>165</v>
      </c>
      <c r="F29" s="27">
        <v>9777</v>
      </c>
      <c r="G29" t="s">
        <v>166</v>
      </c>
    </row>
    <row r="30" spans="3:7">
      <c r="F30" s="23">
        <f>SUM(F4:F29)</f>
        <v>3420076.6500000004</v>
      </c>
      <c r="G30">
        <f>F30/23</f>
        <v>148698.98478260872</v>
      </c>
    </row>
    <row r="36" spans="5:10" ht="29.1">
      <c r="E36" s="51" t="s">
        <v>18</v>
      </c>
      <c r="F36" s="51" t="s">
        <v>167</v>
      </c>
      <c r="G36" s="52" t="s">
        <v>166</v>
      </c>
      <c r="I36" s="30" t="s">
        <v>18</v>
      </c>
      <c r="J36" s="30" t="s">
        <v>31</v>
      </c>
    </row>
    <row r="37" spans="5:10">
      <c r="E37" s="53" t="s">
        <v>168</v>
      </c>
      <c r="F37" s="54">
        <v>2348778.33</v>
      </c>
      <c r="G37" s="55">
        <f>F37/23</f>
        <v>102120.79695652174</v>
      </c>
      <c r="I37" s="22" t="s">
        <v>168</v>
      </c>
      <c r="J37" s="56">
        <v>185500</v>
      </c>
    </row>
    <row r="38" spans="5:10">
      <c r="E38" s="53" t="s">
        <v>169</v>
      </c>
      <c r="F38" s="54">
        <v>472000</v>
      </c>
      <c r="G38" s="55">
        <f t="shared" ref="G38:G40" si="0">F38/23</f>
        <v>20521.739130434784</v>
      </c>
      <c r="I38" s="22" t="s">
        <v>149</v>
      </c>
      <c r="J38" s="24">
        <v>68699.48</v>
      </c>
    </row>
    <row r="39" spans="5:10">
      <c r="E39" s="53" t="s">
        <v>50</v>
      </c>
      <c r="F39" s="54">
        <v>599298.31999999995</v>
      </c>
      <c r="G39" s="55">
        <f t="shared" si="0"/>
        <v>26056.448695652172</v>
      </c>
      <c r="I39" s="22" t="s">
        <v>50</v>
      </c>
      <c r="J39" s="24">
        <v>66405.929999999993</v>
      </c>
    </row>
    <row r="40" spans="5:10">
      <c r="E40" s="51" t="s">
        <v>170</v>
      </c>
      <c r="F40" s="54">
        <v>3420076.65</v>
      </c>
      <c r="G40" s="55">
        <f t="shared" si="0"/>
        <v>148698.98478260869</v>
      </c>
      <c r="I40" s="50" t="s">
        <v>170</v>
      </c>
      <c r="J40" s="29">
        <f>SUM(J37:J39)</f>
        <v>320605.40999999997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ACB7-E75E-4B5E-880B-26A9F78C0DFE}">
  <dimension ref="D3:L35"/>
  <sheetViews>
    <sheetView showGridLines="0" topLeftCell="B1" workbookViewId="0">
      <selection activeCell="E19" sqref="E19"/>
    </sheetView>
  </sheetViews>
  <sheetFormatPr defaultRowHeight="14.45"/>
  <cols>
    <col min="4" max="4" width="18.42578125" bestFit="1" customWidth="1"/>
    <col min="5" max="5" width="23" bestFit="1" customWidth="1"/>
    <col min="6" max="6" width="13.85546875" bestFit="1" customWidth="1"/>
    <col min="7" max="7" width="16.42578125" bestFit="1" customWidth="1"/>
    <col min="8" max="8" width="20.5703125" bestFit="1" customWidth="1"/>
    <col min="9" max="9" width="26.28515625" bestFit="1" customWidth="1"/>
    <col min="10" max="10" width="15.42578125" customWidth="1"/>
    <col min="11" max="11" width="13.85546875" bestFit="1" customWidth="1"/>
    <col min="12" max="12" width="22.85546875" bestFit="1" customWidth="1"/>
  </cols>
  <sheetData>
    <row r="3" spans="4:12" ht="29.1">
      <c r="D3" s="2" t="s">
        <v>171</v>
      </c>
      <c r="E3" s="2" t="s">
        <v>172</v>
      </c>
      <c r="F3" s="44" t="s">
        <v>173</v>
      </c>
      <c r="G3" s="44" t="s">
        <v>174</v>
      </c>
      <c r="H3" s="44" t="s">
        <v>175</v>
      </c>
      <c r="I3" s="44" t="s">
        <v>176</v>
      </c>
      <c r="J3" s="44" t="s">
        <v>177</v>
      </c>
      <c r="K3" s="44" t="s">
        <v>178</v>
      </c>
      <c r="L3" s="44" t="s">
        <v>179</v>
      </c>
    </row>
    <row r="4" spans="4:12">
      <c r="D4" s="36" t="s">
        <v>180</v>
      </c>
      <c r="E4" s="36" t="s">
        <v>181</v>
      </c>
      <c r="F4" s="37">
        <v>29900</v>
      </c>
      <c r="G4" s="37">
        <v>29900</v>
      </c>
      <c r="H4" s="38">
        <v>0</v>
      </c>
      <c r="I4" s="40">
        <v>20523.189999999999</v>
      </c>
      <c r="J4" s="37">
        <v>20523.189999999999</v>
      </c>
      <c r="K4" s="38">
        <v>0</v>
      </c>
      <c r="L4" s="39">
        <f>F4-I4</f>
        <v>9376.8100000000013</v>
      </c>
    </row>
    <row r="5" spans="4:12">
      <c r="D5" s="36" t="s">
        <v>182</v>
      </c>
      <c r="E5" s="36" t="s">
        <v>183</v>
      </c>
      <c r="F5" s="40">
        <v>80335.55</v>
      </c>
      <c r="G5" s="40">
        <v>34929</v>
      </c>
      <c r="H5" s="37">
        <f>F5-G5</f>
        <v>45406.55</v>
      </c>
      <c r="I5" s="40">
        <v>40250</v>
      </c>
      <c r="J5" s="37">
        <v>17500</v>
      </c>
      <c r="K5" s="37">
        <f>I5-J5</f>
        <v>22750</v>
      </c>
      <c r="L5" s="39">
        <f t="shared" ref="L5:L11" si="0">F5-I5</f>
        <v>40085.550000000003</v>
      </c>
    </row>
    <row r="6" spans="4:12">
      <c r="D6" s="36" t="s">
        <v>184</v>
      </c>
      <c r="E6" s="36" t="s">
        <v>185</v>
      </c>
      <c r="F6" s="37">
        <v>1063.75</v>
      </c>
      <c r="G6" s="37">
        <v>1063.75</v>
      </c>
      <c r="H6" s="37">
        <f>F6-G6</f>
        <v>0</v>
      </c>
      <c r="I6" s="40">
        <v>1005.45</v>
      </c>
      <c r="J6" s="37">
        <v>1005.45</v>
      </c>
      <c r="K6" s="37">
        <f>I6-J6</f>
        <v>0</v>
      </c>
      <c r="L6" s="39">
        <f t="shared" si="0"/>
        <v>58.299999999999955</v>
      </c>
    </row>
    <row r="7" spans="4:12">
      <c r="D7" s="36" t="s">
        <v>186</v>
      </c>
      <c r="E7" s="36" t="s">
        <v>187</v>
      </c>
      <c r="F7" s="37">
        <v>63250</v>
      </c>
      <c r="G7" s="37">
        <v>31625</v>
      </c>
      <c r="H7" s="37">
        <f>F7-G7</f>
        <v>31625</v>
      </c>
      <c r="I7" s="40">
        <v>0</v>
      </c>
      <c r="J7" s="38" t="s">
        <v>188</v>
      </c>
      <c r="K7" s="38" t="s">
        <v>188</v>
      </c>
      <c r="L7" s="39">
        <f>F7-I7</f>
        <v>63250</v>
      </c>
    </row>
    <row r="8" spans="4:12">
      <c r="D8" s="36" t="s">
        <v>189</v>
      </c>
      <c r="E8" s="36" t="s">
        <v>190</v>
      </c>
      <c r="F8" s="37">
        <v>6097.3</v>
      </c>
      <c r="G8" s="38">
        <v>1000</v>
      </c>
      <c r="H8" s="37">
        <f>F8-G8</f>
        <v>5097.3</v>
      </c>
      <c r="I8" s="40">
        <v>5034.7</v>
      </c>
      <c r="J8" s="37">
        <v>5034.7</v>
      </c>
      <c r="K8" s="38">
        <v>0</v>
      </c>
      <c r="L8" s="39">
        <f t="shared" si="0"/>
        <v>1062.6000000000004</v>
      </c>
    </row>
    <row r="9" spans="4:12">
      <c r="D9" s="36" t="s">
        <v>191</v>
      </c>
      <c r="E9" s="36" t="s">
        <v>192</v>
      </c>
      <c r="F9" s="37">
        <v>89358.45</v>
      </c>
      <c r="G9" s="37">
        <v>89358.45</v>
      </c>
      <c r="H9" s="38">
        <v>0</v>
      </c>
      <c r="I9" s="40">
        <v>86112</v>
      </c>
      <c r="J9" s="40">
        <v>86112</v>
      </c>
      <c r="K9" s="38" t="s">
        <v>188</v>
      </c>
      <c r="L9" s="39">
        <f t="shared" si="0"/>
        <v>3246.4499999999971</v>
      </c>
    </row>
    <row r="10" spans="4:12">
      <c r="D10" s="36" t="s">
        <v>193</v>
      </c>
      <c r="E10" s="36" t="s">
        <v>194</v>
      </c>
      <c r="F10" s="41">
        <v>15939</v>
      </c>
      <c r="G10" s="42">
        <v>0</v>
      </c>
      <c r="H10" s="41">
        <f>F10-G10</f>
        <v>15939</v>
      </c>
      <c r="I10" s="48">
        <v>10867.5</v>
      </c>
      <c r="J10" s="42">
        <v>0</v>
      </c>
      <c r="K10" s="41">
        <f>I10-J10</f>
        <v>10867.5</v>
      </c>
      <c r="L10" s="43">
        <f t="shared" si="0"/>
        <v>5071.5</v>
      </c>
    </row>
    <row r="11" spans="4:12">
      <c r="D11" s="36" t="s">
        <v>195</v>
      </c>
      <c r="E11" s="36" t="s">
        <v>196</v>
      </c>
      <c r="F11" s="41">
        <v>63241.136899999998</v>
      </c>
      <c r="G11" s="42">
        <v>0</v>
      </c>
      <c r="H11" s="41">
        <f>F11-G11</f>
        <v>63241.136899999998</v>
      </c>
      <c r="I11" s="48">
        <v>48711.98</v>
      </c>
      <c r="J11" s="42">
        <v>0</v>
      </c>
      <c r="K11" s="41">
        <f>I11-J11</f>
        <v>48711.98</v>
      </c>
      <c r="L11" s="43">
        <f t="shared" si="0"/>
        <v>14529.156899999994</v>
      </c>
    </row>
    <row r="12" spans="4:12">
      <c r="D12" s="36"/>
      <c r="E12" s="36"/>
      <c r="F12" s="37"/>
      <c r="G12" s="38"/>
      <c r="H12" s="37"/>
      <c r="I12" s="37"/>
      <c r="J12" s="38"/>
      <c r="K12" s="37"/>
      <c r="L12" s="39"/>
    </row>
    <row r="13" spans="4:12" ht="15" thickBot="1">
      <c r="F13" s="45">
        <f>SUM(F4:F12)</f>
        <v>349185.18689999997</v>
      </c>
      <c r="G13" s="45">
        <f>SUM(G4:G12)</f>
        <v>187876.2</v>
      </c>
      <c r="H13" s="45">
        <f>SUM(H4:H12)</f>
        <v>161308.98690000002</v>
      </c>
      <c r="I13" s="45">
        <f>SUM(I4:I12)</f>
        <v>212504.82</v>
      </c>
      <c r="J13" s="45">
        <f>SUM(J4:J12)</f>
        <v>130175.34</v>
      </c>
      <c r="K13" s="46">
        <f>SUM(K4:K11)</f>
        <v>82329.48000000001</v>
      </c>
      <c r="L13" s="46">
        <f>SUM(L4:L11)</f>
        <v>136680.36689999999</v>
      </c>
    </row>
    <row r="14" spans="4:12" ht="15" thickTop="1">
      <c r="I14" s="23"/>
    </row>
    <row r="15" spans="4:12">
      <c r="K15" s="23"/>
      <c r="L15" s="49"/>
    </row>
    <row r="16" spans="4:12">
      <c r="D16" s="2" t="s">
        <v>197</v>
      </c>
      <c r="E16" s="44" t="s">
        <v>31</v>
      </c>
    </row>
    <row r="17" spans="4:10" ht="17.45">
      <c r="D17" s="6" t="s">
        <v>198</v>
      </c>
      <c r="E17" s="47">
        <v>349185.19</v>
      </c>
      <c r="I17" s="5"/>
    </row>
    <row r="18" spans="4:10">
      <c r="D18" s="6" t="s">
        <v>199</v>
      </c>
      <c r="E18" s="47">
        <v>187876.2</v>
      </c>
    </row>
    <row r="19" spans="4:10">
      <c r="D19" s="6" t="s">
        <v>200</v>
      </c>
      <c r="E19" s="47">
        <v>161308.99</v>
      </c>
      <c r="I19" s="25"/>
      <c r="J19" s="25"/>
    </row>
    <row r="20" spans="4:10">
      <c r="D20" s="22"/>
      <c r="E20" s="35"/>
      <c r="I20" s="33"/>
      <c r="J20" s="34"/>
    </row>
    <row r="21" spans="4:10">
      <c r="D21" s="6" t="s">
        <v>176</v>
      </c>
      <c r="E21" s="47">
        <v>212504.82</v>
      </c>
      <c r="G21" s="23"/>
      <c r="I21" s="33"/>
      <c r="J21" s="34"/>
    </row>
    <row r="22" spans="4:10">
      <c r="D22" s="6" t="s">
        <v>201</v>
      </c>
      <c r="E22" s="47">
        <v>130175.34</v>
      </c>
      <c r="I22" s="33"/>
      <c r="J22" s="34"/>
    </row>
    <row r="23" spans="4:10" ht="29.1">
      <c r="D23" s="6" t="s">
        <v>202</v>
      </c>
      <c r="E23" s="47">
        <f>E21-E22</f>
        <v>82329.48000000001</v>
      </c>
      <c r="G23" s="23"/>
      <c r="I23" s="25"/>
      <c r="J23" s="25"/>
    </row>
    <row r="24" spans="4:10">
      <c r="I24" s="33"/>
      <c r="J24" s="34"/>
    </row>
    <row r="25" spans="4:10">
      <c r="D25" s="6" t="s">
        <v>203</v>
      </c>
      <c r="E25" s="47">
        <f>E17-E21</f>
        <v>136680.37</v>
      </c>
      <c r="I25" s="33"/>
      <c r="J25" s="34"/>
    </row>
    <row r="26" spans="4:10">
      <c r="I26" s="33"/>
      <c r="J26" s="34"/>
    </row>
    <row r="27" spans="4:10">
      <c r="D27" s="6" t="s">
        <v>198</v>
      </c>
      <c r="E27" s="47">
        <v>349185.19</v>
      </c>
      <c r="I27" s="25"/>
      <c r="J27" s="25"/>
    </row>
    <row r="28" spans="4:10">
      <c r="D28" s="6" t="s">
        <v>203</v>
      </c>
      <c r="E28" s="47">
        <v>136680.37</v>
      </c>
      <c r="I28" s="33"/>
      <c r="J28" s="34"/>
    </row>
    <row r="34" spans="9:10">
      <c r="I34" s="33"/>
      <c r="J34" s="34"/>
    </row>
    <row r="35" spans="9:10">
      <c r="I35" s="33"/>
      <c r="J3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Hemala K</dc:creator>
  <cp:keywords/>
  <dc:description/>
  <cp:lastModifiedBy>Guest User</cp:lastModifiedBy>
  <cp:revision/>
  <dcterms:created xsi:type="dcterms:W3CDTF">2025-10-29T14:26:50Z</dcterms:created>
  <dcterms:modified xsi:type="dcterms:W3CDTF">2025-11-05T15:06:57Z</dcterms:modified>
  <cp:category/>
  <cp:contentStatus/>
</cp:coreProperties>
</file>